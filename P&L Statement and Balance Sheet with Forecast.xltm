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akt\Desktop\"/>
    </mc:Choice>
  </mc:AlternateContent>
  <bookViews>
    <workbookView xWindow="0" yWindow="0" windowWidth="20490" windowHeight="76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S10" i="1"/>
  <c r="F13" i="1"/>
  <c r="G11" i="1"/>
  <c r="F11" i="1"/>
  <c r="S9" i="1"/>
  <c r="S5" i="1"/>
  <c r="M8" i="1"/>
  <c r="M7" i="1"/>
  <c r="M6" i="1"/>
  <c r="G13" i="1"/>
  <c r="F15" i="1"/>
  <c r="G15" i="1" s="1"/>
  <c r="F14" i="1"/>
  <c r="G14" i="1" s="1"/>
  <c r="G12" i="1"/>
  <c r="F12" i="1"/>
  <c r="G10" i="1"/>
  <c r="F10" i="1"/>
  <c r="M9" i="1"/>
  <c r="F9" i="1"/>
  <c r="G9" i="1"/>
  <c r="F8" i="1"/>
  <c r="G8" i="1"/>
  <c r="G7" i="1"/>
  <c r="G6" i="1"/>
  <c r="G5" i="1"/>
  <c r="F6" i="1"/>
  <c r="F7" i="1" s="1"/>
  <c r="F5" i="1"/>
  <c r="S6" i="1" l="1"/>
  <c r="S11" i="1"/>
  <c r="S8" i="1" s="1"/>
  <c r="S12" i="1" s="1"/>
  <c r="S7" i="1"/>
</calcChain>
</file>

<file path=xl/sharedStrings.xml><?xml version="1.0" encoding="utf-8"?>
<sst xmlns="http://schemas.openxmlformats.org/spreadsheetml/2006/main" count="41" uniqueCount="37">
  <si>
    <t>Year</t>
  </si>
  <si>
    <t xml:space="preserve">% of Sales </t>
  </si>
  <si>
    <t>Forecast</t>
  </si>
  <si>
    <t>Sales</t>
  </si>
  <si>
    <t>COGS</t>
  </si>
  <si>
    <t>Gross Margin</t>
  </si>
  <si>
    <t>Bad Debt</t>
  </si>
  <si>
    <t>Overhead</t>
  </si>
  <si>
    <t>Depreciation</t>
  </si>
  <si>
    <t>Operating Profit</t>
  </si>
  <si>
    <t>Interest Expense</t>
  </si>
  <si>
    <t>EBT</t>
  </si>
  <si>
    <t>Taxes</t>
  </si>
  <si>
    <t>Net income</t>
  </si>
  <si>
    <t>PL Statement</t>
  </si>
  <si>
    <t>SUF</t>
  </si>
  <si>
    <t xml:space="preserve">Cash </t>
  </si>
  <si>
    <t xml:space="preserve">Receivables </t>
  </si>
  <si>
    <t xml:space="preserve">Inventory </t>
  </si>
  <si>
    <t>Current Assets</t>
  </si>
  <si>
    <t>Net Fixed Assets</t>
  </si>
  <si>
    <t>Total Assets</t>
  </si>
  <si>
    <t xml:space="preserve">SUF </t>
  </si>
  <si>
    <t xml:space="preserve">Payables </t>
  </si>
  <si>
    <t>Taxes due</t>
  </si>
  <si>
    <t>Short Term Credit Lines</t>
  </si>
  <si>
    <t>Current liabilities</t>
  </si>
  <si>
    <t>Long Term Loan</t>
  </si>
  <si>
    <t>Equity + Reserves</t>
  </si>
  <si>
    <t>Net income of the year</t>
  </si>
  <si>
    <t>Total Liab.+ Equity</t>
  </si>
  <si>
    <t>Purchases</t>
  </si>
  <si>
    <t>Receivables in days</t>
  </si>
  <si>
    <t>Payables in days</t>
  </si>
  <si>
    <t>Inventory in days</t>
  </si>
  <si>
    <t>Balance Sheet</t>
  </si>
  <si>
    <t>%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</si>
</sst>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17" fontId="1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"/>
  <sheetViews>
    <sheetView tabSelected="1" topLeftCell="A4" workbookViewId="0">
      <selection activeCell="S10" sqref="S10"/>
    </sheetView>
  </sheetViews>
  <sheetFormatPr defaultRowHeight="15" x14ac:dyDescent="0.25"/>
  <cols>
    <col min="1" max="1" width="13.140625" customWidth="1"/>
    <col min="7" max="7" width="12.28515625" bestFit="1" customWidth="1"/>
    <col min="8" max="8" width="7.42578125" customWidth="1"/>
    <col min="9" max="9" width="12.28515625" customWidth="1"/>
    <col min="10" max="10" width="9.140625" customWidth="1"/>
    <col min="13" max="13" width="9.5703125" bestFit="1" customWidth="1"/>
    <col min="14" max="14" width="4.140625" customWidth="1"/>
    <col min="15" max="15" width="16.28515625" customWidth="1"/>
  </cols>
  <sheetData>
    <row r="1" spans="1:20" x14ac:dyDescent="0.25">
      <c r="D1" t="s">
        <v>14</v>
      </c>
      <c r="K1" t="s">
        <v>35</v>
      </c>
    </row>
    <row r="3" spans="1:20" ht="30" x14ac:dyDescent="0.25">
      <c r="A3" s="1"/>
      <c r="B3" s="2" t="s">
        <v>0</v>
      </c>
      <c r="C3" s="2" t="s">
        <v>0</v>
      </c>
      <c r="D3" s="2" t="s">
        <v>1</v>
      </c>
      <c r="E3" s="2" t="s">
        <v>1</v>
      </c>
      <c r="F3" s="2" t="s">
        <v>2</v>
      </c>
      <c r="G3" s="2" t="s">
        <v>36</v>
      </c>
      <c r="I3" s="1"/>
      <c r="J3" s="1"/>
      <c r="K3" s="1"/>
      <c r="L3" s="1"/>
      <c r="M3" s="2" t="s">
        <v>2</v>
      </c>
      <c r="O3" s="1"/>
      <c r="P3" s="1"/>
      <c r="Q3" s="1"/>
      <c r="R3" s="1"/>
      <c r="S3" s="2" t="s">
        <v>2</v>
      </c>
    </row>
    <row r="4" spans="1:20" x14ac:dyDescent="0.25">
      <c r="A4" s="1"/>
      <c r="B4" s="3">
        <v>39417</v>
      </c>
      <c r="C4" s="3">
        <v>39783</v>
      </c>
      <c r="D4" s="3">
        <v>39417</v>
      </c>
      <c r="E4" s="3">
        <v>39783</v>
      </c>
      <c r="F4" s="3">
        <v>40148</v>
      </c>
      <c r="G4" s="3">
        <v>40148</v>
      </c>
      <c r="I4" s="1"/>
      <c r="J4" s="3">
        <v>39417</v>
      </c>
      <c r="K4" s="3">
        <v>39783</v>
      </c>
      <c r="L4" s="2" t="s">
        <v>15</v>
      </c>
      <c r="M4" s="3">
        <v>40148</v>
      </c>
      <c r="O4" s="1"/>
      <c r="P4" s="3">
        <v>39417</v>
      </c>
      <c r="Q4" s="3">
        <v>39783</v>
      </c>
      <c r="R4" s="2" t="s">
        <v>22</v>
      </c>
      <c r="S4" s="3">
        <v>40148</v>
      </c>
    </row>
    <row r="5" spans="1:20" x14ac:dyDescent="0.25">
      <c r="A5" s="4" t="s">
        <v>3</v>
      </c>
      <c r="B5" s="5">
        <v>45800</v>
      </c>
      <c r="C5" s="5">
        <v>42300</v>
      </c>
      <c r="D5" s="6">
        <v>1</v>
      </c>
      <c r="E5" s="6">
        <v>1</v>
      </c>
      <c r="F5" s="1">
        <f>C5*0.85</f>
        <v>35955</v>
      </c>
      <c r="G5" s="6">
        <f>-15%</f>
        <v>-0.15</v>
      </c>
      <c r="I5" s="4" t="s">
        <v>16</v>
      </c>
      <c r="J5" s="1">
        <v>800</v>
      </c>
      <c r="K5" s="5">
        <v>1200</v>
      </c>
      <c r="L5" s="1">
        <v>400</v>
      </c>
      <c r="M5" s="1">
        <v>1000</v>
      </c>
      <c r="O5" s="4" t="s">
        <v>23</v>
      </c>
      <c r="P5" s="5">
        <v>9750</v>
      </c>
      <c r="Q5" s="5">
        <v>7750</v>
      </c>
      <c r="R5" s="5">
        <v>-2000</v>
      </c>
      <c r="S5" s="1">
        <f>S16*S14/360</f>
        <v>6576.5</v>
      </c>
    </row>
    <row r="6" spans="1:20" x14ac:dyDescent="0.25">
      <c r="A6" s="4" t="s">
        <v>4</v>
      </c>
      <c r="B6" s="5">
        <v>34100</v>
      </c>
      <c r="C6" s="5">
        <v>33500</v>
      </c>
      <c r="D6" s="6">
        <v>0.74</v>
      </c>
      <c r="E6" s="6">
        <v>0.79</v>
      </c>
      <c r="F6" s="1">
        <f>F5*G6</f>
        <v>29483.1</v>
      </c>
      <c r="G6" s="6">
        <f xml:space="preserve"> 82%</f>
        <v>0.82</v>
      </c>
      <c r="I6" s="4" t="s">
        <v>17</v>
      </c>
      <c r="J6" s="5">
        <v>17580</v>
      </c>
      <c r="K6" s="5">
        <v>15820</v>
      </c>
      <c r="L6" s="1">
        <v>-1.76</v>
      </c>
      <c r="M6" s="1">
        <f>S15*(F5/360)</f>
        <v>14981.25</v>
      </c>
      <c r="O6" s="4" t="s">
        <v>24</v>
      </c>
      <c r="P6" s="1">
        <v>917</v>
      </c>
      <c r="Q6" s="1">
        <v>114</v>
      </c>
      <c r="R6" s="1">
        <v>-803</v>
      </c>
      <c r="S6" s="1">
        <f>F14</f>
        <v>-375.58799999999985</v>
      </c>
    </row>
    <row r="7" spans="1:20" ht="30" x14ac:dyDescent="0.25">
      <c r="A7" s="4" t="s">
        <v>5</v>
      </c>
      <c r="B7" s="5">
        <v>11700</v>
      </c>
      <c r="C7" s="5">
        <v>8800</v>
      </c>
      <c r="D7" s="6">
        <v>0.26</v>
      </c>
      <c r="E7" s="6">
        <v>0.21</v>
      </c>
      <c r="F7" s="1">
        <f>F5-F6</f>
        <v>6471.9000000000015</v>
      </c>
      <c r="G7" s="1">
        <f xml:space="preserve"> (F7/F5)*100%</f>
        <v>0.18000000000000005</v>
      </c>
      <c r="I7" s="4" t="s">
        <v>18</v>
      </c>
      <c r="J7" s="5">
        <v>15100</v>
      </c>
      <c r="K7" s="5">
        <v>17100</v>
      </c>
      <c r="L7" s="5">
        <v>2000</v>
      </c>
      <c r="M7" s="1">
        <f>S17*F6/360</f>
        <v>13922.575000000001</v>
      </c>
      <c r="O7" s="4" t="s">
        <v>25</v>
      </c>
      <c r="P7" s="5">
        <v>17283</v>
      </c>
      <c r="Q7" s="5">
        <v>18951</v>
      </c>
      <c r="R7" s="5">
        <v>1668</v>
      </c>
      <c r="S7" s="5">
        <f>S8-S5-S6</f>
        <v>14797.912999999997</v>
      </c>
    </row>
    <row r="8" spans="1:20" ht="30" x14ac:dyDescent="0.25">
      <c r="A8" s="4" t="s">
        <v>6</v>
      </c>
      <c r="B8" s="1">
        <v>228</v>
      </c>
      <c r="C8" s="1">
        <v>478</v>
      </c>
      <c r="D8" s="6">
        <v>0</v>
      </c>
      <c r="E8" s="6">
        <v>0.01</v>
      </c>
      <c r="F8" s="1">
        <f>F5*G8</f>
        <v>719.1</v>
      </c>
      <c r="G8" s="1">
        <f>2%</f>
        <v>0.02</v>
      </c>
      <c r="I8" s="4" t="s">
        <v>19</v>
      </c>
      <c r="J8" s="5">
        <v>33480</v>
      </c>
      <c r="K8" s="5">
        <v>34120</v>
      </c>
      <c r="L8" s="1">
        <v>0</v>
      </c>
      <c r="M8" s="1">
        <f>M6+M7</f>
        <v>28903.825000000001</v>
      </c>
      <c r="O8" s="4" t="s">
        <v>26</v>
      </c>
      <c r="P8" s="5">
        <v>27950</v>
      </c>
      <c r="Q8" s="5">
        <v>26815</v>
      </c>
      <c r="R8" s="1">
        <v>0</v>
      </c>
      <c r="S8" s="5">
        <f>M10-S9-S10</f>
        <v>20998.824999999997</v>
      </c>
    </row>
    <row r="9" spans="1:20" ht="30" x14ac:dyDescent="0.25">
      <c r="A9" s="4" t="s">
        <v>7</v>
      </c>
      <c r="B9" s="5">
        <v>6620</v>
      </c>
      <c r="C9" s="5">
        <v>5950</v>
      </c>
      <c r="D9" s="6">
        <v>0.14000000000000001</v>
      </c>
      <c r="E9" s="6">
        <v>0.14000000000000001</v>
      </c>
      <c r="F9" s="1">
        <f>F5*G9</f>
        <v>5033.7000000000007</v>
      </c>
      <c r="G9" s="1">
        <f>14%</f>
        <v>0.14000000000000001</v>
      </c>
      <c r="I9" s="4" t="s">
        <v>20</v>
      </c>
      <c r="J9" s="5">
        <v>7210</v>
      </c>
      <c r="K9" s="5">
        <v>6300</v>
      </c>
      <c r="L9" s="1">
        <v>-910</v>
      </c>
      <c r="M9" s="1">
        <f>6300</f>
        <v>6300</v>
      </c>
      <c r="O9" s="4" t="s">
        <v>27</v>
      </c>
      <c r="P9" s="5">
        <v>2800</v>
      </c>
      <c r="Q9" s="5">
        <v>3400</v>
      </c>
      <c r="R9" s="1">
        <v>600</v>
      </c>
      <c r="S9" s="1">
        <f>5000</f>
        <v>5000</v>
      </c>
    </row>
    <row r="10" spans="1:20" x14ac:dyDescent="0.25">
      <c r="A10" s="4" t="s">
        <v>8</v>
      </c>
      <c r="B10" s="1">
        <v>795</v>
      </c>
      <c r="C10" s="1">
        <v>740</v>
      </c>
      <c r="D10" s="6">
        <v>0.02</v>
      </c>
      <c r="E10" s="6">
        <v>0.02</v>
      </c>
      <c r="F10" s="1">
        <f>M9*0.1</f>
        <v>630</v>
      </c>
      <c r="G10" s="1">
        <f>ROUND((F10/F5),3)</f>
        <v>1.7999999999999999E-2</v>
      </c>
      <c r="I10" s="4" t="s">
        <v>21</v>
      </c>
      <c r="J10" s="5">
        <v>40690</v>
      </c>
      <c r="K10" s="5">
        <v>40420</v>
      </c>
      <c r="L10" s="1"/>
      <c r="M10" s="1">
        <f>M8+M9+M5</f>
        <v>36203.824999999997</v>
      </c>
      <c r="O10" s="4" t="s">
        <v>28</v>
      </c>
      <c r="P10" s="5">
        <v>7800</v>
      </c>
      <c r="Q10" s="5">
        <v>9940</v>
      </c>
      <c r="R10" s="5">
        <v>2140</v>
      </c>
      <c r="S10" s="5">
        <f>10205</f>
        <v>10205</v>
      </c>
    </row>
    <row r="11" spans="1:20" ht="30" x14ac:dyDescent="0.25">
      <c r="A11" s="4" t="s">
        <v>9</v>
      </c>
      <c r="B11" s="5">
        <v>4057</v>
      </c>
      <c r="C11" s="5">
        <v>1632</v>
      </c>
      <c r="D11" s="6">
        <v>0.09</v>
      </c>
      <c r="E11" s="6">
        <v>0.04</v>
      </c>
      <c r="F11" s="1">
        <f>F5-F6-F8-F9-F10</f>
        <v>89.100000000000364</v>
      </c>
      <c r="G11" s="1">
        <f>ROUND((F11/F5),3)</f>
        <v>2E-3</v>
      </c>
      <c r="O11" s="4" t="s">
        <v>29</v>
      </c>
      <c r="P11" s="5">
        <v>2140</v>
      </c>
      <c r="Q11" s="1">
        <v>265</v>
      </c>
      <c r="R11" s="5">
        <v>-1875</v>
      </c>
      <c r="S11" s="1">
        <f>F15</f>
        <v>-876.37199999999973</v>
      </c>
    </row>
    <row r="12" spans="1:20" ht="30" x14ac:dyDescent="0.25">
      <c r="A12" s="4" t="s">
        <v>10</v>
      </c>
      <c r="B12" s="5">
        <v>1000</v>
      </c>
      <c r="C12" s="5">
        <v>1253</v>
      </c>
      <c r="D12" s="6">
        <v>0.02</v>
      </c>
      <c r="E12" s="6">
        <v>0.03</v>
      </c>
      <c r="F12" s="1">
        <f>0.06*Q7+0.06*Q9</f>
        <v>1341.06</v>
      </c>
      <c r="G12" s="1">
        <f>ROUND((F12/F5),3)</f>
        <v>3.6999999999999998E-2</v>
      </c>
      <c r="O12" s="4" t="s">
        <v>30</v>
      </c>
      <c r="P12" s="5">
        <v>40690</v>
      </c>
      <c r="Q12" s="5">
        <v>40420</v>
      </c>
      <c r="R12" s="1">
        <v>0</v>
      </c>
      <c r="S12" s="5">
        <f>S8+S9+S10</f>
        <v>36203.824999999997</v>
      </c>
    </row>
    <row r="13" spans="1:20" x14ac:dyDescent="0.25">
      <c r="A13" s="4" t="s">
        <v>11</v>
      </c>
      <c r="B13" s="5">
        <v>3057</v>
      </c>
      <c r="C13" s="1">
        <v>379</v>
      </c>
      <c r="D13" s="6">
        <v>7.0000000000000007E-2</v>
      </c>
      <c r="E13" s="6">
        <v>0.01</v>
      </c>
      <c r="F13" s="1">
        <f>F11-F12</f>
        <v>-1251.9599999999996</v>
      </c>
      <c r="G13" s="1">
        <f>ROUND((F13/F5),3)</f>
        <v>-3.5000000000000003E-2</v>
      </c>
    </row>
    <row r="14" spans="1:20" x14ac:dyDescent="0.25">
      <c r="A14" s="4" t="s">
        <v>12</v>
      </c>
      <c r="B14" s="1">
        <v>917</v>
      </c>
      <c r="C14" s="1">
        <v>114</v>
      </c>
      <c r="D14" s="6">
        <v>0.02</v>
      </c>
      <c r="E14" s="6">
        <v>0</v>
      </c>
      <c r="F14" s="1">
        <f>F13*0.3</f>
        <v>-375.58799999999985</v>
      </c>
      <c r="G14" s="1">
        <f>ROUND((F14/F5),3)</f>
        <v>-0.01</v>
      </c>
      <c r="O14" s="4" t="s">
        <v>31</v>
      </c>
      <c r="P14" s="5">
        <v>29770</v>
      </c>
      <c r="Q14" s="5">
        <v>35500</v>
      </c>
      <c r="R14" s="1"/>
      <c r="S14" s="5">
        <v>26306</v>
      </c>
      <c r="T14" s="5"/>
    </row>
    <row r="15" spans="1:20" ht="30" x14ac:dyDescent="0.25">
      <c r="A15" s="4" t="s">
        <v>13</v>
      </c>
      <c r="B15" s="5">
        <v>2140</v>
      </c>
      <c r="C15" s="1">
        <v>265</v>
      </c>
      <c r="D15" s="6">
        <v>0.05</v>
      </c>
      <c r="E15" s="6">
        <v>0.01</v>
      </c>
      <c r="F15" s="1">
        <f>F13-F14</f>
        <v>-876.37199999999973</v>
      </c>
      <c r="G15" s="1">
        <f>ROUND((F15/F5),3)</f>
        <v>-2.4E-2</v>
      </c>
      <c r="O15" s="4" t="s">
        <v>32</v>
      </c>
      <c r="P15" s="1">
        <v>138</v>
      </c>
      <c r="Q15" s="1">
        <v>135</v>
      </c>
      <c r="R15" s="1"/>
      <c r="S15" s="1">
        <v>150</v>
      </c>
      <c r="T15" s="1"/>
    </row>
    <row r="16" spans="1:20" x14ac:dyDescent="0.25">
      <c r="O16" s="4" t="s">
        <v>33</v>
      </c>
      <c r="P16" s="1">
        <v>118</v>
      </c>
      <c r="Q16" s="1">
        <v>79</v>
      </c>
      <c r="R16" s="1"/>
      <c r="S16" s="1">
        <v>90</v>
      </c>
      <c r="T16" s="1"/>
    </row>
    <row r="17" spans="15:20" ht="30" x14ac:dyDescent="0.25">
      <c r="O17" s="4" t="s">
        <v>34</v>
      </c>
      <c r="P17" s="1">
        <v>159</v>
      </c>
      <c r="Q17" s="1">
        <v>184</v>
      </c>
      <c r="R17" s="1"/>
      <c r="S17" s="1">
        <v>170</v>
      </c>
      <c r="T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Nirmal Kumar</dc:creator>
  <cp:lastModifiedBy>Nirmal Kumar</cp:lastModifiedBy>
  <dcterms:created xsi:type="dcterms:W3CDTF">2021-01-25T05:23:14Z</dcterms:created>
  <dcterms:modified xsi:type="dcterms:W3CDTF">2021-01-25T07:11:15Z</dcterms:modified>
</cp:coreProperties>
</file>